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溪小悦\Desktop\大物II实验\2008051212211362\coding\"/>
    </mc:Choice>
  </mc:AlternateContent>
  <xr:revisionPtr revIDLastSave="0" documentId="13_ncr:1_{4BCFF493-4BAD-49FD-9E50-0C4858B4FF52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5" i="1"/>
  <c r="H8" i="1"/>
  <c r="H11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K2" i="1"/>
  <c r="A24" i="1" s="1"/>
  <c r="D3" i="1"/>
  <c r="D4" i="1"/>
  <c r="D5" i="1"/>
  <c r="D6" i="1"/>
  <c r="D7" i="1"/>
  <c r="D8" i="1"/>
  <c r="E8" i="1" s="1"/>
  <c r="D9" i="1"/>
  <c r="D10" i="1"/>
  <c r="D11" i="1"/>
  <c r="D12" i="1"/>
  <c r="D13" i="1"/>
  <c r="D2" i="1"/>
  <c r="E5" i="1" l="1"/>
  <c r="E2" i="1"/>
  <c r="E11" i="1"/>
</calcChain>
</file>

<file path=xl/sharedStrings.xml><?xml version="1.0" encoding="utf-8"?>
<sst xmlns="http://schemas.openxmlformats.org/spreadsheetml/2006/main" count="10" uniqueCount="10">
  <si>
    <t>噪声强度</t>
    <phoneticPr fontId="2" type="noConversion"/>
  </si>
  <si>
    <t>实验轮数</t>
    <phoneticPr fontId="2" type="noConversion"/>
  </si>
  <si>
    <t>预估传播时间/ms</t>
    <phoneticPr fontId="2" type="noConversion"/>
  </si>
  <si>
    <t>绝对误差/μs</t>
    <phoneticPr fontId="2" type="noConversion"/>
  </si>
  <si>
    <t>平均绝对误差/μs</t>
    <phoneticPr fontId="2" type="noConversion"/>
  </si>
  <si>
    <t>噪声标准差</t>
  </si>
  <si>
    <r>
      <t>平均绝对误差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μ</t>
    </r>
    <r>
      <rPr>
        <sz val="10.5"/>
        <color theme="1"/>
        <rFont val="Times New Roman"/>
        <family val="1"/>
      </rPr>
      <t>s</t>
    </r>
  </si>
  <si>
    <t>计算声速</t>
    <phoneticPr fontId="2" type="noConversion"/>
  </si>
  <si>
    <t>平均相对误差</t>
    <phoneticPr fontId="2" type="noConversion"/>
  </si>
  <si>
    <t>相对误差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</si>
</sst>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0.00_ "/>
    <numFmt numFmtId="181" formatCode="0_ "/>
    <numFmt numFmtId="182" formatCode="0.00_);[Red]\(0.00\)"/>
    <numFmt numFmtId="183" formatCode="0.000000_ "/>
    <numFmt numFmtId="186" formatCode="0.0000000000%"/>
  </numFmts>
  <fonts count="5" x14ac:knownFonts="1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0" fillId="0" borderId="0" xfId="0" applyNumberFormat="1" applyAlignment="1"/>
    <xf numFmtId="180" fontId="0" fillId="0" borderId="0" xfId="0" applyNumberFormat="1" applyAlignment="1"/>
    <xf numFmtId="181" fontId="0" fillId="0" borderId="0" xfId="0" applyNumberFormat="1" applyAlignment="1"/>
    <xf numFmtId="0" fontId="0" fillId="0" borderId="0" xfId="0" applyNumberFormat="1" applyAlignment="1"/>
    <xf numFmtId="183" fontId="0" fillId="0" borderId="0" xfId="0" applyNumberFormat="1" applyAlignment="1"/>
    <xf numFmtId="18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186" fontId="0" fillId="0" borderId="0" xfId="0" applyNumberFormat="1"/>
    <xf numFmtId="18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平均绝对误差/μs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Sheet1!$A$17:$A$20</c:f>
              <c:numCache>
                <c:formatCode>General</c:formatCode>
                <c:ptCount val="4"/>
                <c:pt idx="0">
                  <c:v>0.02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</c:numCache>
            </c:numRef>
          </c:xVal>
          <c:yVal>
            <c:numRef>
              <c:f>Sheet1!$B$17:$B$20</c:f>
              <c:numCache>
                <c:formatCode>General</c:formatCode>
                <c:ptCount val="4"/>
                <c:pt idx="0">
                  <c:v>-6.6666670000000003E-3</c:v>
                </c:pt>
                <c:pt idx="1">
                  <c:v>4.8666666999999997E-2</c:v>
                </c:pt>
                <c:pt idx="2">
                  <c:v>4.2430000000000003</c:v>
                </c:pt>
                <c:pt idx="3">
                  <c:v>-3.7160000000000002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C-4CF7-B49C-E21804BF0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145248"/>
        <c:axId val="1409136608"/>
      </c:scatterChart>
      <c:valAx>
        <c:axId val="140914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9136608"/>
        <c:crosses val="autoZero"/>
        <c:crossBetween val="midCat"/>
      </c:valAx>
      <c:valAx>
        <c:axId val="140913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914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1214437</xdr:colOff>
      <xdr:row>14</xdr:row>
      <xdr:rowOff>180975</xdr:rowOff>
    </xdr:from>
    <xdr:to>
      <xdr:col>6</xdr:col>
      <xdr:colOff>90487</xdr:colOff>
      <xdr:row>29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48D0456-67BA-D617-428F-ECD8C3835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H24" sqref="H24"/>
    </sheetView>
  </sheetViews>
  <sheetFormatPr defaultRowHeight="14.25" x14ac:dyDescent="0.2"/>
  <cols>
    <col min="1" max="1" width="16.125" style="3" customWidth="1"/>
    <col min="2" max="2" width="16.125" style="4" customWidth="1"/>
    <col min="3" max="3" width="16.125" style="2" customWidth="1"/>
    <col min="4" max="4" width="14" customWidth="1"/>
    <col min="5" max="5" width="19.5" customWidth="1"/>
    <col min="7" max="8" width="21.125" customWidth="1"/>
  </cols>
  <sheetData>
    <row r="1" spans="1:11" x14ac:dyDescent="0.2">
      <c r="A1" s="3" t="s">
        <v>0</v>
      </c>
      <c r="B1" s="4" t="s">
        <v>1</v>
      </c>
      <c r="C1" s="2" t="s">
        <v>2</v>
      </c>
      <c r="D1" t="s">
        <v>3</v>
      </c>
      <c r="E1" t="s">
        <v>4</v>
      </c>
      <c r="F1" t="s">
        <v>7</v>
      </c>
      <c r="G1" t="s">
        <v>9</v>
      </c>
      <c r="H1" t="s">
        <v>8</v>
      </c>
      <c r="I1" s="1">
        <v>1.4577260000000001</v>
      </c>
    </row>
    <row r="2" spans="1:11" x14ac:dyDescent="0.2">
      <c r="A2" s="9">
        <v>0.02</v>
      </c>
      <c r="B2" s="5">
        <v>1</v>
      </c>
      <c r="C2" s="6">
        <v>1.457659</v>
      </c>
      <c r="D2" s="7">
        <f>(C2-I1)*1000</f>
        <v>-6.700000000003925E-2</v>
      </c>
      <c r="E2" s="8">
        <f>SUM(D2:D4)/3</f>
        <v>-6.6666666667103414E-3</v>
      </c>
      <c r="F2">
        <f>0.5/C2*1000</f>
        <v>343.01575334148794</v>
      </c>
      <c r="G2" s="16">
        <f>(F2-343)/343</f>
        <v>4.5928109294276162E-5</v>
      </c>
      <c r="H2" s="17">
        <f>SUM(G2:G4)/3</f>
        <v>4.5384477084133685E-6</v>
      </c>
      <c r="I2" s="1">
        <v>1.4577260000000001</v>
      </c>
      <c r="K2">
        <f>0.5/C2*1000</f>
        <v>343.01575334148794</v>
      </c>
    </row>
    <row r="3" spans="1:11" x14ac:dyDescent="0.2">
      <c r="A3" s="9"/>
      <c r="B3" s="5">
        <v>2</v>
      </c>
      <c r="C3" s="6">
        <v>1.457722</v>
      </c>
      <c r="D3" s="7">
        <f t="shared" ref="D3:D13" si="0">(C3-I2)*1000</f>
        <v>-4.0000000001150227E-3</v>
      </c>
      <c r="E3" s="8"/>
      <c r="F3">
        <f t="shared" ref="F3:F13" si="1">0.5/C3*1000</f>
        <v>343.00092884651536</v>
      </c>
      <c r="G3" s="16">
        <f t="shared" ref="G3:G13" si="2">(F3-343)/343</f>
        <v>2.7080073334242335E-6</v>
      </c>
      <c r="H3" s="17"/>
      <c r="I3" s="1">
        <v>1.4577260000000001</v>
      </c>
    </row>
    <row r="4" spans="1:11" x14ac:dyDescent="0.2">
      <c r="A4" s="9"/>
      <c r="B4" s="5">
        <v>3</v>
      </c>
      <c r="C4" s="6">
        <v>1.4577770000000001</v>
      </c>
      <c r="D4" s="7">
        <f t="shared" si="0"/>
        <v>5.1000000000023249E-2</v>
      </c>
      <c r="E4" s="8"/>
      <c r="F4">
        <f t="shared" si="1"/>
        <v>342.98798787468866</v>
      </c>
      <c r="G4" s="16">
        <f t="shared" si="2"/>
        <v>-3.5020773502460291E-5</v>
      </c>
      <c r="H4" s="17"/>
      <c r="I4" s="1">
        <v>1.4577260000000001</v>
      </c>
    </row>
    <row r="5" spans="1:11" x14ac:dyDescent="0.2">
      <c r="A5" s="9">
        <v>0.05</v>
      </c>
      <c r="B5" s="5">
        <v>1</v>
      </c>
      <c r="C5" s="6">
        <v>1.4577439999999999</v>
      </c>
      <c r="D5" s="7">
        <f t="shared" si="0"/>
        <v>1.7999999999851468E-2</v>
      </c>
      <c r="E5" s="8">
        <f t="shared" ref="E5" si="3">SUM(D5:D7)/3</f>
        <v>4.8666666666585812E-2</v>
      </c>
      <c r="F5">
        <f t="shared" si="1"/>
        <v>342.99575234060302</v>
      </c>
      <c r="G5" s="16">
        <f t="shared" si="2"/>
        <v>-1.2383846638428301E-5</v>
      </c>
      <c r="H5" s="17">
        <f t="shared" ref="H5" si="4">SUM(G5:G7)/3</f>
        <v>-3.3419241952246303E-5</v>
      </c>
      <c r="I5" s="1">
        <v>1.4577260000000001</v>
      </c>
    </row>
    <row r="6" spans="1:11" x14ac:dyDescent="0.2">
      <c r="A6" s="9"/>
      <c r="B6" s="5">
        <v>2</v>
      </c>
      <c r="C6" s="6">
        <v>1.4578390000000001</v>
      </c>
      <c r="D6" s="7">
        <f t="shared" si="0"/>
        <v>0.11300000000002974</v>
      </c>
      <c r="E6" s="8"/>
      <c r="F6">
        <f t="shared" si="1"/>
        <v>342.97340104085566</v>
      </c>
      <c r="G6" s="16">
        <f t="shared" si="2"/>
        <v>-7.7547985843548649E-5</v>
      </c>
      <c r="H6" s="17"/>
      <c r="I6" s="1">
        <v>1.4577260000000001</v>
      </c>
    </row>
    <row r="7" spans="1:11" x14ac:dyDescent="0.2">
      <c r="A7" s="9"/>
      <c r="B7" s="5">
        <v>3</v>
      </c>
      <c r="C7" s="6">
        <v>1.457741</v>
      </c>
      <c r="D7" s="7">
        <f t="shared" si="0"/>
        <v>1.4999999999876223E-2</v>
      </c>
      <c r="E7" s="8"/>
      <c r="F7">
        <f t="shared" si="1"/>
        <v>342.99645821857246</v>
      </c>
      <c r="G7" s="16">
        <f t="shared" si="2"/>
        <v>-1.032589337476197E-5</v>
      </c>
      <c r="H7" s="17"/>
      <c r="I7" s="1">
        <v>1.4577260000000001</v>
      </c>
    </row>
    <row r="8" spans="1:11" x14ac:dyDescent="0.2">
      <c r="A8" s="10">
        <v>0.1</v>
      </c>
      <c r="B8" s="5">
        <v>1</v>
      </c>
      <c r="C8" s="6">
        <v>1.470205</v>
      </c>
      <c r="D8" s="7">
        <f t="shared" si="0"/>
        <v>12.478999999999907</v>
      </c>
      <c r="E8" s="8">
        <f t="shared" ref="E8" si="5">SUM(D8:D10)/3</f>
        <v>4.2429999999998484</v>
      </c>
      <c r="F8">
        <f t="shared" si="1"/>
        <v>340.08862709622127</v>
      </c>
      <c r="G8" s="16">
        <f t="shared" si="2"/>
        <v>-8.4879676495006606E-3</v>
      </c>
      <c r="H8" s="17">
        <f t="shared" ref="H8" si="6">SUM(G8:G10)/3</f>
        <v>-2.8865060446416711E-3</v>
      </c>
      <c r="I8" s="1">
        <v>1.4577260000000001</v>
      </c>
    </row>
    <row r="9" spans="1:11" x14ac:dyDescent="0.2">
      <c r="A9" s="10"/>
      <c r="B9" s="5">
        <v>2</v>
      </c>
      <c r="C9" s="6">
        <v>1.4579359999999999</v>
      </c>
      <c r="D9" s="7">
        <f t="shared" si="0"/>
        <v>0.20999999999982144</v>
      </c>
      <c r="E9" s="8"/>
      <c r="F9">
        <f t="shared" si="1"/>
        <v>342.95058219290837</v>
      </c>
      <c r="G9" s="16">
        <f t="shared" si="2"/>
        <v>-1.4407523933419571E-4</v>
      </c>
      <c r="H9" s="17"/>
      <c r="I9" s="1">
        <v>1.4577260000000001</v>
      </c>
    </row>
    <row r="10" spans="1:11" x14ac:dyDescent="0.2">
      <c r="A10" s="10"/>
      <c r="B10" s="5">
        <v>3</v>
      </c>
      <c r="C10" s="6">
        <v>1.4577659999999999</v>
      </c>
      <c r="D10" s="7">
        <f t="shared" si="0"/>
        <v>3.9999999999817959E-2</v>
      </c>
      <c r="E10" s="8"/>
      <c r="F10">
        <f t="shared" si="1"/>
        <v>342.99057599093408</v>
      </c>
      <c r="G10" s="16">
        <f t="shared" si="2"/>
        <v>-2.7475245090157757E-5</v>
      </c>
      <c r="H10" s="17"/>
      <c r="I10" s="1">
        <v>1.4577260000000001</v>
      </c>
    </row>
    <row r="11" spans="1:11" x14ac:dyDescent="0.2">
      <c r="A11" s="10">
        <v>0.2</v>
      </c>
      <c r="B11" s="5">
        <v>1</v>
      </c>
      <c r="C11" s="6">
        <v>1.4579299999999999</v>
      </c>
      <c r="D11" s="7">
        <f t="shared" si="0"/>
        <v>0.20399999999987095</v>
      </c>
      <c r="E11" s="8">
        <f t="shared" ref="E11" si="7">SUM(D11:D13)/3</f>
        <v>-3.7160000000001268</v>
      </c>
      <c r="F11">
        <f t="shared" si="1"/>
        <v>342.95199357993874</v>
      </c>
      <c r="G11" s="16">
        <f t="shared" si="2"/>
        <v>-1.3996040834185421E-4</v>
      </c>
      <c r="H11" s="17">
        <f t="shared" ref="H11" si="8">SUM(G11:G13)/3</f>
        <v>2.5699201338719815E-3</v>
      </c>
      <c r="I11" s="1">
        <v>1.4577260000000001</v>
      </c>
    </row>
    <row r="12" spans="1:11" x14ac:dyDescent="0.2">
      <c r="A12" s="10"/>
      <c r="B12" s="5">
        <v>2</v>
      </c>
      <c r="C12" s="6">
        <v>1.446264</v>
      </c>
      <c r="D12" s="7">
        <f t="shared" si="0"/>
        <v>-11.462000000000083</v>
      </c>
      <c r="E12" s="8"/>
      <c r="F12">
        <f t="shared" si="1"/>
        <v>345.71834741098445</v>
      </c>
      <c r="G12" s="16">
        <f t="shared" si="2"/>
        <v>7.9252111107418356E-3</v>
      </c>
      <c r="H12" s="17"/>
      <c r="I12" s="1">
        <v>1.4577260000000001</v>
      </c>
    </row>
    <row r="13" spans="1:11" x14ac:dyDescent="0.2">
      <c r="A13" s="10"/>
      <c r="B13" s="5">
        <v>3</v>
      </c>
      <c r="C13" s="6">
        <v>1.4578359999999999</v>
      </c>
      <c r="D13" s="7">
        <f t="shared" si="0"/>
        <v>0.10999999999983245</v>
      </c>
      <c r="E13" s="8"/>
      <c r="F13">
        <f t="shared" si="1"/>
        <v>342.97410682683108</v>
      </c>
      <c r="G13" s="16">
        <f t="shared" si="2"/>
        <v>-7.5490300784036374E-5</v>
      </c>
      <c r="H13" s="17"/>
      <c r="I13" s="1">
        <v>1.4577260000000001</v>
      </c>
    </row>
    <row r="15" spans="1:11" ht="15" thickBot="1" x14ac:dyDescent="0.25"/>
    <row r="16" spans="1:11" ht="15.75" thickTop="1" thickBot="1" x14ac:dyDescent="0.25">
      <c r="A16" s="11" t="s">
        <v>5</v>
      </c>
      <c r="B16" s="11" t="s">
        <v>6</v>
      </c>
    </row>
    <row r="17" spans="1:2" x14ac:dyDescent="0.2">
      <c r="A17" s="12">
        <v>0.02</v>
      </c>
      <c r="B17" s="13">
        <v>-6.6666670000000003E-3</v>
      </c>
    </row>
    <row r="18" spans="1:2" x14ac:dyDescent="0.2">
      <c r="A18" s="12">
        <v>0.05</v>
      </c>
      <c r="B18" s="13">
        <v>4.8666666999999997E-2</v>
      </c>
    </row>
    <row r="19" spans="1:2" x14ac:dyDescent="0.2">
      <c r="A19" s="12">
        <v>0.1</v>
      </c>
      <c r="B19" s="13">
        <v>4.2430000000000003</v>
      </c>
    </row>
    <row r="20" spans="1:2" ht="15" thickBot="1" x14ac:dyDescent="0.25">
      <c r="A20" s="14">
        <v>0.2</v>
      </c>
      <c r="B20" s="15">
        <v>-3.7160000000000002</v>
      </c>
    </row>
    <row r="21" spans="1:2" ht="15" thickTop="1" x14ac:dyDescent="0.2"/>
    <row r="24" spans="1:2" x14ac:dyDescent="0.2">
      <c r="A24" s="3" t="b">
        <f>K2=0.5/C2*1000</f>
        <v>1</v>
      </c>
    </row>
  </sheetData>
  <mergeCells count="12">
    <mergeCell ref="H2:H4"/>
    <mergeCell ref="H5:H7"/>
    <mergeCell ref="H8:H10"/>
    <mergeCell ref="H11:H13"/>
    <mergeCell ref="E2:E4"/>
    <mergeCell ref="E5:E7"/>
    <mergeCell ref="E8:E10"/>
    <mergeCell ref="E11:E13"/>
    <mergeCell ref="A2:A4"/>
    <mergeCell ref="A5:A7"/>
    <mergeCell ref="A8:A10"/>
    <mergeCell ref="A11:A1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溪小悦</dc:creator>
  <cp:lastModifiedBy>1574558167@qq.com</cp:lastModifiedBy>
  <dcterms:created xsi:type="dcterms:W3CDTF">2015-06-05T18:19:34Z</dcterms:created>
  <dcterms:modified xsi:type="dcterms:W3CDTF">2025-12-20T05:35:55Z</dcterms:modified>
</cp:coreProperties>
</file>